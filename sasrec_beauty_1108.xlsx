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40"/>
  </bookViews>
  <sheets>
    <sheet name="beauty" sheetId="1" r:id="rId1"/>
    <sheet name="yel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<sst xmlns="http://schemas.openxmlformats.org/spreadsheetml/2006/main" count="70" uniqueCount="39">
  <si>
    <t>Amazon_Beauty</t>
  </si>
  <si>
    <t>recall@5</t>
  </si>
  <si>
    <t>recall@10</t>
  </si>
  <si>
    <t>recall@20</t>
  </si>
  <si>
    <t>mrr@5</t>
  </si>
  <si>
    <t>mrr@10</t>
  </si>
  <si>
    <t>mrr@20</t>
  </si>
  <si>
    <t>ndcg@5</t>
  </si>
  <si>
    <t>ndcg@10</t>
  </si>
  <si>
    <t>ndcg@20</t>
  </si>
  <si>
    <t>hit@5</t>
  </si>
  <si>
    <t>hit@10</t>
  </si>
  <si>
    <t>hit@20</t>
  </si>
  <si>
    <t>precision@5</t>
  </si>
  <si>
    <t>precision@10</t>
  </si>
  <si>
    <t>precision@20</t>
  </si>
  <si>
    <t>exp1:sasrec.py</t>
  </si>
  <si>
    <t>exp2:sasrec+tfidf(title embedding)</t>
  </si>
  <si>
    <t xml:space="preserve">exp2: sasrec+tfidf(title embedding) + LN + test:full +align </t>
  </si>
  <si>
    <t xml:space="preserve">exp2: sasrec+tfidf(title embedding) + LN + align + test:full + Regularization +  Text fusion </t>
  </si>
  <si>
    <t>exp3:sasrec + tfidf + dcnv2</t>
  </si>
  <si>
    <t>exp3: sasrec + tfidf + dcnv2 + LN + full</t>
  </si>
  <si>
    <t>exp3: sasrec + tfidf + dcnv2 + LN + full +  Regularization + Text fusion</t>
  </si>
  <si>
    <t>exp5: sasrec + llm</t>
  </si>
  <si>
    <t xml:space="preserve">exp5: sasrec + llm +  LN + full + align Regularization + Text fusion </t>
  </si>
  <si>
    <t>exp6: exp6: sasrec + llm + dcnv2 + align + full</t>
  </si>
  <si>
    <t xml:space="preserve">exp6: sasrec + llm + dcnv2 + align + full +  Regularization + Text fusion </t>
  </si>
  <si>
    <t xml:space="preserve">exp5 sasrec + llm +  LN + full + align Regularization + Text fusion  </t>
  </si>
  <si>
    <t xml:space="preserve">exp2: sasrec+tfidf(title embedding) + </t>
  </si>
  <si>
    <t>ablation</t>
  </si>
  <si>
    <t>exp0:  sasrec_align.py base config</t>
  </si>
  <si>
    <t>exp1:sasrec test: uni100</t>
  </si>
  <si>
    <t>exp1:sasrec test: fulll</t>
  </si>
  <si>
    <t>pureId:</t>
  </si>
  <si>
    <t>exp8: sasrec + llm + LN + cross fusion + align + gate L2 regularization</t>
  </si>
  <si>
    <t>exp9: sasrec + llm + LN + cross fusion + align + gate entropy regularization</t>
  </si>
  <si>
    <t>exp10: sasrec + llm + LN + cross fusion + align + cross dropout</t>
  </si>
  <si>
    <t>Yelp</t>
  </si>
  <si>
    <t>exp3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</si>
</sst>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9" fontId="0" fillId="0" borderId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8"/>
  <sheetViews>
    <sheetView tabSelected="1" workbookViewId="0">
      <pane xSplit="1" topLeftCell="S1" activePane="topRight" state="frozen"/>
      <selection/>
      <selection pane="topRight" activeCell="Q22" sqref="Q22:AE22"/>
    </sheetView>
  </sheetViews>
  <sheetFormatPr defaultColWidth="9.23076923076923" defaultRowHeight="16.8"/>
  <cols>
    <col min="1" max="1" width="89.7692307692308" customWidth="1"/>
    <col min="12" max="13" width="8.15384615384615" customWidth="1"/>
    <col min="14" max="14" width="13" customWidth="1"/>
    <col min="15" max="16" width="14.1538461538462" customWidth="1"/>
    <col min="17" max="29" width="14.0769230769231"/>
    <col min="30" max="30" width="16.3461538461538" customWidth="1"/>
    <col min="31" max="31" width="14.076923076923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  <c r="AA1" t="s">
        <v>11</v>
      </c>
      <c r="AB1" t="s">
        <v>12</v>
      </c>
      <c r="AC1" t="s">
        <v>13</v>
      </c>
      <c r="AD1" t="s">
        <v>14</v>
      </c>
      <c r="AE1" t="s">
        <v>15</v>
      </c>
    </row>
    <row r="2" spans="1:16">
      <c r="A2" t="s">
        <v>16</v>
      </c>
      <c r="B2">
        <v>0.0387</v>
      </c>
      <c r="C2">
        <v>0.053</v>
      </c>
      <c r="D2">
        <v>0.0684</v>
      </c>
      <c r="E2">
        <v>0.0169</v>
      </c>
      <c r="F2">
        <v>0.0188</v>
      </c>
      <c r="G2">
        <v>0.0199</v>
      </c>
      <c r="H2">
        <v>0.0223</v>
      </c>
      <c r="I2">
        <v>0.027</v>
      </c>
      <c r="J2">
        <v>0.0309</v>
      </c>
      <c r="K2">
        <v>0.0387</v>
      </c>
      <c r="L2">
        <v>0.053</v>
      </c>
      <c r="M2">
        <v>0.0684</v>
      </c>
      <c r="N2">
        <v>0.0077</v>
      </c>
      <c r="O2">
        <v>0.0053</v>
      </c>
      <c r="P2">
        <v>0.0034</v>
      </c>
    </row>
    <row r="3" spans="1:31">
      <c r="A3" t="s">
        <v>17</v>
      </c>
      <c r="B3">
        <v>0.0264</v>
      </c>
      <c r="C3">
        <v>0.0342</v>
      </c>
      <c r="D3">
        <v>0.0449</v>
      </c>
      <c r="E3">
        <v>0.0184</v>
      </c>
      <c r="F3">
        <v>0.0194</v>
      </c>
      <c r="G3">
        <v>0.0201</v>
      </c>
      <c r="H3">
        <v>0.0203</v>
      </c>
      <c r="I3">
        <v>0.0228</v>
      </c>
      <c r="J3">
        <v>0.0256</v>
      </c>
      <c r="K3">
        <v>0.0264</v>
      </c>
      <c r="L3">
        <v>0.0342</v>
      </c>
      <c r="M3">
        <v>0.0449</v>
      </c>
      <c r="N3">
        <v>0.0053</v>
      </c>
      <c r="O3">
        <v>0.0034</v>
      </c>
      <c r="P3">
        <v>0.0022</v>
      </c>
      <c r="Q3" s="3">
        <f>B3/B$2-1</f>
        <v>-0.317829457364341</v>
      </c>
      <c r="R3" s="3">
        <f t="shared" ref="R3:AE3" si="0">C3/C$2-1</f>
        <v>-0.354716981132075</v>
      </c>
      <c r="S3" s="3">
        <f t="shared" si="0"/>
        <v>-0.343567251461988</v>
      </c>
      <c r="T3" s="3">
        <f t="shared" si="0"/>
        <v>0.0887573964497042</v>
      </c>
      <c r="U3" s="3">
        <f t="shared" si="0"/>
        <v>0.0319148936170213</v>
      </c>
      <c r="V3" s="3">
        <f t="shared" si="0"/>
        <v>0.0100502512562815</v>
      </c>
      <c r="W3" s="3">
        <f t="shared" si="0"/>
        <v>-0.0896860986547086</v>
      </c>
      <c r="X3" s="3">
        <f t="shared" si="0"/>
        <v>-0.155555555555556</v>
      </c>
      <c r="Y3" s="3">
        <f t="shared" si="0"/>
        <v>-0.171521035598705</v>
      </c>
      <c r="Z3" s="3">
        <f t="shared" si="0"/>
        <v>-0.317829457364341</v>
      </c>
      <c r="AA3" s="3">
        <f t="shared" si="0"/>
        <v>-0.354716981132075</v>
      </c>
      <c r="AB3" s="3">
        <f t="shared" si="0"/>
        <v>-0.343567251461988</v>
      </c>
      <c r="AC3" s="3">
        <f t="shared" si="0"/>
        <v>-0.311688311688312</v>
      </c>
      <c r="AD3" s="3">
        <f t="shared" si="0"/>
        <v>-0.358490566037736</v>
      </c>
      <c r="AE3" s="3">
        <f t="shared" si="0"/>
        <v>-0.352941176470588</v>
      </c>
    </row>
    <row r="4" spans="1:31">
      <c r="A4" t="s">
        <v>18</v>
      </c>
      <c r="B4">
        <v>0.0452</v>
      </c>
      <c r="C4">
        <v>0.0584</v>
      </c>
      <c r="D4">
        <v>0.0745</v>
      </c>
      <c r="E4">
        <v>0.03</v>
      </c>
      <c r="F4">
        <v>0.0318</v>
      </c>
      <c r="G4">
        <v>0.0329</v>
      </c>
      <c r="H4">
        <v>0.0338</v>
      </c>
      <c r="I4">
        <v>0.0381</v>
      </c>
      <c r="J4">
        <v>0.0421</v>
      </c>
      <c r="K4">
        <v>0.0452</v>
      </c>
      <c r="L4">
        <v>0.0584</v>
      </c>
      <c r="M4">
        <v>0.0745</v>
      </c>
      <c r="N4">
        <v>0.009</v>
      </c>
      <c r="O4">
        <v>0.0058</v>
      </c>
      <c r="P4">
        <v>0.0037</v>
      </c>
      <c r="Q4" s="3">
        <f t="shared" ref="Q4:AE4" si="1">B4/B$2-1</f>
        <v>0.167958656330749</v>
      </c>
      <c r="R4" s="3">
        <f t="shared" si="1"/>
        <v>0.10188679245283</v>
      </c>
      <c r="S4" s="3">
        <f t="shared" si="1"/>
        <v>0.0891812865497075</v>
      </c>
      <c r="T4" s="3">
        <f t="shared" si="1"/>
        <v>0.775147928994083</v>
      </c>
      <c r="U4" s="3">
        <f t="shared" si="1"/>
        <v>0.691489361702128</v>
      </c>
      <c r="V4" s="3">
        <f t="shared" si="1"/>
        <v>0.653266331658291</v>
      </c>
      <c r="W4" s="3">
        <f t="shared" si="1"/>
        <v>0.515695067264574</v>
      </c>
      <c r="X4" s="3">
        <f t="shared" si="1"/>
        <v>0.411111111111111</v>
      </c>
      <c r="Y4" s="3">
        <f t="shared" si="1"/>
        <v>0.362459546925566</v>
      </c>
      <c r="Z4" s="3">
        <f t="shared" si="1"/>
        <v>0.167958656330749</v>
      </c>
      <c r="AA4" s="3">
        <f t="shared" si="1"/>
        <v>0.10188679245283</v>
      </c>
      <c r="AB4" s="3">
        <f t="shared" si="1"/>
        <v>0.0891812865497075</v>
      </c>
      <c r="AC4" s="3">
        <f t="shared" si="1"/>
        <v>0.168831168831169</v>
      </c>
      <c r="AD4" s="3">
        <f t="shared" si="1"/>
        <v>0.0943396226415094</v>
      </c>
      <c r="AE4" s="3">
        <f t="shared" si="1"/>
        <v>0.0882352941176472</v>
      </c>
    </row>
    <row r="5" spans="1:31">
      <c r="A5" s="1" t="s">
        <v>19</v>
      </c>
      <c r="B5">
        <v>0.0468</v>
      </c>
      <c r="C5">
        <v>0.0606</v>
      </c>
      <c r="D5">
        <v>0.0771</v>
      </c>
      <c r="E5">
        <v>0.0315</v>
      </c>
      <c r="F5">
        <v>0.0333</v>
      </c>
      <c r="G5">
        <v>0.0345</v>
      </c>
      <c r="H5">
        <v>0.0353</v>
      </c>
      <c r="I5">
        <v>0.0397</v>
      </c>
      <c r="J5">
        <v>0.0439</v>
      </c>
      <c r="K5">
        <v>0.0468</v>
      </c>
      <c r="L5">
        <v>0.0606</v>
      </c>
      <c r="M5">
        <v>0.0771</v>
      </c>
      <c r="N5">
        <v>0.0094</v>
      </c>
      <c r="O5">
        <v>0.0061</v>
      </c>
      <c r="P5">
        <v>0.0039</v>
      </c>
      <c r="Q5" s="3">
        <f>B5/B$2-1</f>
        <v>0.209302325581395</v>
      </c>
      <c r="R5" s="3">
        <f>C5/C$2-1</f>
        <v>0.143396226415094</v>
      </c>
      <c r="S5" s="3">
        <f>D5/D$2-1</f>
        <v>0.12719298245614</v>
      </c>
      <c r="T5" s="3">
        <f>E5/E$2-1</f>
        <v>0.863905325443787</v>
      </c>
      <c r="U5" s="3">
        <f>F5/F$2-1</f>
        <v>0.771276595744681</v>
      </c>
      <c r="V5" s="3">
        <f>G5/G$2-1</f>
        <v>0.733668341708543</v>
      </c>
      <c r="W5" s="3">
        <f>H5/H$2-1</f>
        <v>0.582959641255605</v>
      </c>
      <c r="X5" s="3">
        <f>I5/I$2-1</f>
        <v>0.47037037037037</v>
      </c>
      <c r="Y5" s="3">
        <f>J5/J$2-1</f>
        <v>0.420711974110032</v>
      </c>
      <c r="Z5" s="3">
        <f>K5/K$2-1</f>
        <v>0.209302325581395</v>
      </c>
      <c r="AA5" s="3">
        <f>L5/L$2-1</f>
        <v>0.143396226415094</v>
      </c>
      <c r="AB5" s="3">
        <f>M5/M$2-1</f>
        <v>0.12719298245614</v>
      </c>
      <c r="AC5" s="3">
        <f>N5/N$2-1</f>
        <v>0.220779220779221</v>
      </c>
      <c r="AD5" s="3">
        <f>O5/O$2-1</f>
        <v>0.150943396226415</v>
      </c>
      <c r="AE5" s="3">
        <f>P5/P$2-1</f>
        <v>0.147058823529412</v>
      </c>
    </row>
    <row r="6" spans="1:31">
      <c r="A6" t="s">
        <v>20</v>
      </c>
      <c r="B6">
        <v>0.0169</v>
      </c>
      <c r="C6">
        <v>0.0243</v>
      </c>
      <c r="D6">
        <v>0.034</v>
      </c>
      <c r="E6">
        <v>0.0105</v>
      </c>
      <c r="F6">
        <v>0.0115</v>
      </c>
      <c r="G6">
        <v>0.0122</v>
      </c>
      <c r="H6">
        <v>0.0121</v>
      </c>
      <c r="I6">
        <v>0.0145</v>
      </c>
      <c r="J6">
        <v>0.0169</v>
      </c>
      <c r="K6">
        <v>0.0169</v>
      </c>
      <c r="L6">
        <v>0.0243</v>
      </c>
      <c r="M6">
        <v>0.034</v>
      </c>
      <c r="N6">
        <v>0.0034</v>
      </c>
      <c r="O6">
        <v>0.0024</v>
      </c>
      <c r="P6">
        <v>0.0017</v>
      </c>
      <c r="Q6" s="3">
        <f>B6/B$2-1</f>
        <v>-0.563307493540052</v>
      </c>
      <c r="R6" s="3">
        <f>C6/C$2-1</f>
        <v>-0.541509433962264</v>
      </c>
      <c r="S6" s="3">
        <f>D6/D$2-1</f>
        <v>-0.502923976608187</v>
      </c>
      <c r="T6" s="3">
        <f>E6/E$2-1</f>
        <v>-0.378698224852071</v>
      </c>
      <c r="U6" s="3">
        <f>F6/F$2-1</f>
        <v>-0.388297872340426</v>
      </c>
      <c r="V6" s="3">
        <f>G6/G$2-1</f>
        <v>-0.386934673366834</v>
      </c>
      <c r="W6" s="3">
        <f>H6/H$2-1</f>
        <v>-0.457399103139013</v>
      </c>
      <c r="X6" s="3">
        <f>I6/I$2-1</f>
        <v>-0.462962962962963</v>
      </c>
      <c r="Y6" s="3">
        <f>J6/J$2-1</f>
        <v>-0.453074433656958</v>
      </c>
      <c r="Z6" s="3">
        <f>K6/K$2-1</f>
        <v>-0.563307493540052</v>
      </c>
      <c r="AA6" s="3">
        <f>L6/L$2-1</f>
        <v>-0.541509433962264</v>
      </c>
      <c r="AB6" s="3">
        <f>M6/M$2-1</f>
        <v>-0.502923976608187</v>
      </c>
      <c r="AC6" s="3">
        <f>N6/N$2-1</f>
        <v>-0.558441558441559</v>
      </c>
      <c r="AD6" s="3">
        <f>O6/O$2-1</f>
        <v>-0.547169811320755</v>
      </c>
      <c r="AE6" s="3">
        <f>P6/P$2-1</f>
        <v>-0.5</v>
      </c>
    </row>
    <row r="7" spans="1:31">
      <c r="A7" t="s">
        <v>21</v>
      </c>
      <c r="B7">
        <v>0.0347</v>
      </c>
      <c r="C7">
        <v>0.0469</v>
      </c>
      <c r="D7">
        <v>0.0627</v>
      </c>
      <c r="E7">
        <v>0.0216</v>
      </c>
      <c r="F7">
        <v>0.0232</v>
      </c>
      <c r="G7">
        <v>0.0243</v>
      </c>
      <c r="H7">
        <v>0.0249</v>
      </c>
      <c r="I7">
        <v>0.0288</v>
      </c>
      <c r="J7">
        <v>0.0328</v>
      </c>
      <c r="K7">
        <v>0.0347</v>
      </c>
      <c r="L7">
        <v>0.0469</v>
      </c>
      <c r="M7">
        <v>0.0627</v>
      </c>
      <c r="N7">
        <v>0.0069</v>
      </c>
      <c r="O7">
        <v>0.0047</v>
      </c>
      <c r="P7">
        <v>0.0031</v>
      </c>
      <c r="Q7" s="3">
        <f>B7/B$2-1</f>
        <v>-0.103359173126615</v>
      </c>
      <c r="R7" s="3">
        <f>C7/C$2-1</f>
        <v>-0.115094339622641</v>
      </c>
      <c r="S7" s="3">
        <f>D7/D$2-1</f>
        <v>-0.0833333333333333</v>
      </c>
      <c r="T7" s="3">
        <f>E7/E$2-1</f>
        <v>0.27810650887574</v>
      </c>
      <c r="U7" s="3">
        <f>F7/F$2-1</f>
        <v>0.234042553191489</v>
      </c>
      <c r="V7" s="3">
        <f>G7/G$2-1</f>
        <v>0.221105527638191</v>
      </c>
      <c r="W7" s="3">
        <f>H7/H$2-1</f>
        <v>0.116591928251121</v>
      </c>
      <c r="X7" s="3">
        <f>I7/I$2-1</f>
        <v>0.0666666666666667</v>
      </c>
      <c r="Y7" s="3">
        <f>J7/J$2-1</f>
        <v>0.0614886731391586</v>
      </c>
      <c r="Z7" s="3">
        <f>K7/K$2-1</f>
        <v>-0.103359173126615</v>
      </c>
      <c r="AA7" s="3">
        <f>L7/L$2-1</f>
        <v>-0.115094339622641</v>
      </c>
      <c r="AB7" s="3">
        <f>M7/M$2-1</f>
        <v>-0.0833333333333333</v>
      </c>
      <c r="AC7" s="3">
        <f>N7/N$2-1</f>
        <v>-0.103896103896104</v>
      </c>
      <c r="AD7" s="3">
        <f>O7/O$2-1</f>
        <v>-0.113207547169811</v>
      </c>
      <c r="AE7" s="3">
        <f>P7/P$2-1</f>
        <v>-0.0882352941176471</v>
      </c>
    </row>
    <row r="8" spans="1:31">
      <c r="A8" t="s">
        <v>22</v>
      </c>
      <c r="B8">
        <v>0.0455</v>
      </c>
      <c r="C8">
        <v>0.0578</v>
      </c>
      <c r="D8">
        <v>0.073</v>
      </c>
      <c r="E8">
        <v>0.0309</v>
      </c>
      <c r="F8">
        <v>0.0326</v>
      </c>
      <c r="G8">
        <v>0.0336</v>
      </c>
      <c r="H8">
        <v>0.0346</v>
      </c>
      <c r="I8">
        <v>0.0385</v>
      </c>
      <c r="J8">
        <v>0.0424</v>
      </c>
      <c r="K8">
        <v>0.0455</v>
      </c>
      <c r="L8">
        <v>0.0578</v>
      </c>
      <c r="M8">
        <v>0.073</v>
      </c>
      <c r="N8">
        <v>0.0091</v>
      </c>
      <c r="O8">
        <v>0.0058</v>
      </c>
      <c r="P8">
        <v>0.0036</v>
      </c>
      <c r="Q8" s="3">
        <f t="shared" ref="Q8:AE8" si="2">B8/B$2-1</f>
        <v>0.175710594315245</v>
      </c>
      <c r="R8" s="3">
        <f t="shared" si="2"/>
        <v>0.090566037735849</v>
      </c>
      <c r="S8" s="3">
        <f t="shared" si="2"/>
        <v>0.067251461988304</v>
      </c>
      <c r="T8" s="3">
        <f t="shared" si="2"/>
        <v>0.828402366863906</v>
      </c>
      <c r="U8" s="3">
        <f t="shared" si="2"/>
        <v>0.734042553191489</v>
      </c>
      <c r="V8" s="3">
        <f t="shared" si="2"/>
        <v>0.688442211055276</v>
      </c>
      <c r="W8" s="3">
        <f t="shared" si="2"/>
        <v>0.551569506726457</v>
      </c>
      <c r="X8" s="3">
        <f t="shared" si="2"/>
        <v>0.425925925925926</v>
      </c>
      <c r="Y8" s="3">
        <f t="shared" si="2"/>
        <v>0.372168284789644</v>
      </c>
      <c r="Z8" s="3">
        <f t="shared" si="2"/>
        <v>0.175710594315245</v>
      </c>
      <c r="AA8" s="3">
        <f t="shared" si="2"/>
        <v>0.090566037735849</v>
      </c>
      <c r="AB8" s="3">
        <f t="shared" si="2"/>
        <v>0.067251461988304</v>
      </c>
      <c r="AC8" s="3">
        <f t="shared" si="2"/>
        <v>0.181818181818182</v>
      </c>
      <c r="AD8" s="3">
        <f t="shared" si="2"/>
        <v>0.0943396226415094</v>
      </c>
      <c r="AE8" s="3">
        <f t="shared" si="2"/>
        <v>0.0588235294117647</v>
      </c>
    </row>
    <row r="9" spans="1:31">
      <c r="A9" t="s">
        <v>23</v>
      </c>
      <c r="B9">
        <v>0.0312</v>
      </c>
      <c r="C9">
        <v>0.0439</v>
      </c>
      <c r="D9">
        <v>0.0598</v>
      </c>
      <c r="E9">
        <v>0.0189</v>
      </c>
      <c r="F9">
        <v>0.0205</v>
      </c>
      <c r="G9">
        <v>0.0216</v>
      </c>
      <c r="H9">
        <v>0.0219</v>
      </c>
      <c r="I9">
        <v>0.026</v>
      </c>
      <c r="J9">
        <v>0.03</v>
      </c>
      <c r="K9">
        <v>0.0312</v>
      </c>
      <c r="L9">
        <v>0.0439</v>
      </c>
      <c r="M9">
        <v>0.0598</v>
      </c>
      <c r="N9">
        <v>0.0062</v>
      </c>
      <c r="O9">
        <v>0.0044</v>
      </c>
      <c r="P9">
        <v>0.003</v>
      </c>
      <c r="Q9" s="3">
        <f>B9/B$2-1</f>
        <v>-0.193798449612403</v>
      </c>
      <c r="R9" s="3">
        <f>C9/C$2-1</f>
        <v>-0.171698113207547</v>
      </c>
      <c r="S9" s="3">
        <f>D9/D$2-1</f>
        <v>-0.125730994152047</v>
      </c>
      <c r="T9" s="3">
        <f>E9/E$2-1</f>
        <v>0.118343195266272</v>
      </c>
      <c r="U9" s="3">
        <f>F9/F$2-1</f>
        <v>0.0904255319148937</v>
      </c>
      <c r="V9" s="3">
        <f>G9/G$2-1</f>
        <v>0.085427135678392</v>
      </c>
      <c r="W9" s="3">
        <f>H9/H$2-1</f>
        <v>-0.0179372197309418</v>
      </c>
      <c r="X9" s="3">
        <f>I9/I$2-1</f>
        <v>-0.0370370370370371</v>
      </c>
      <c r="Y9" s="3">
        <f>J9/J$2-1</f>
        <v>-0.0291262135922331</v>
      </c>
      <c r="Z9" s="3">
        <f>K9/K$2-1</f>
        <v>-0.193798449612403</v>
      </c>
      <c r="AA9" s="3">
        <f>L9/L$2-1</f>
        <v>-0.171698113207547</v>
      </c>
      <c r="AB9" s="3">
        <f>M9/M$2-1</f>
        <v>-0.125730994152047</v>
      </c>
      <c r="AC9" s="3">
        <f>N9/N$2-1</f>
        <v>-0.194805194805195</v>
      </c>
      <c r="AD9" s="3">
        <f>O9/O$2-1</f>
        <v>-0.169811320754717</v>
      </c>
      <c r="AE9" s="3">
        <f>P9/P$2-1</f>
        <v>-0.117647058823529</v>
      </c>
    </row>
    <row r="10" spans="1:31">
      <c r="A10" t="s">
        <v>24</v>
      </c>
      <c r="B10">
        <v>0.0462</v>
      </c>
      <c r="C10">
        <v>0.0599</v>
      </c>
      <c r="D10">
        <v>0.0761</v>
      </c>
      <c r="E10">
        <v>0.0308</v>
      </c>
      <c r="F10">
        <v>0.0327</v>
      </c>
      <c r="G10">
        <v>0.0338</v>
      </c>
      <c r="H10">
        <v>0.0347</v>
      </c>
      <c r="I10">
        <v>0.0391</v>
      </c>
      <c r="J10">
        <v>0.0432</v>
      </c>
      <c r="K10">
        <v>0.0462</v>
      </c>
      <c r="L10">
        <v>0.0599</v>
      </c>
      <c r="M10">
        <v>0.0761</v>
      </c>
      <c r="N10">
        <v>0.0092</v>
      </c>
      <c r="O10">
        <v>0.006</v>
      </c>
      <c r="P10">
        <v>0.0038</v>
      </c>
      <c r="Q10" s="3">
        <f t="shared" ref="Q10:AE10" si="3">B10/B$2-1</f>
        <v>0.193798449612403</v>
      </c>
      <c r="R10" s="3">
        <f t="shared" si="3"/>
        <v>0.130188679245283</v>
      </c>
      <c r="S10" s="3">
        <f t="shared" si="3"/>
        <v>0.112573099415205</v>
      </c>
      <c r="T10" s="3">
        <f t="shared" si="3"/>
        <v>0.822485207100592</v>
      </c>
      <c r="U10" s="3">
        <f t="shared" si="3"/>
        <v>0.73936170212766</v>
      </c>
      <c r="V10" s="3">
        <f t="shared" si="3"/>
        <v>0.698492462311558</v>
      </c>
      <c r="W10" s="3">
        <f t="shared" si="3"/>
        <v>0.556053811659193</v>
      </c>
      <c r="X10" s="3">
        <f t="shared" si="3"/>
        <v>0.448148148148148</v>
      </c>
      <c r="Y10" s="3">
        <f t="shared" si="3"/>
        <v>0.398058252427185</v>
      </c>
      <c r="Z10" s="3">
        <f t="shared" si="3"/>
        <v>0.193798449612403</v>
      </c>
      <c r="AA10" s="3">
        <f t="shared" si="3"/>
        <v>0.130188679245283</v>
      </c>
      <c r="AB10" s="3">
        <f t="shared" si="3"/>
        <v>0.112573099415205</v>
      </c>
      <c r="AC10" s="3">
        <f t="shared" si="3"/>
        <v>0.194805194805195</v>
      </c>
      <c r="AD10" s="3">
        <f t="shared" si="3"/>
        <v>0.132075471698113</v>
      </c>
      <c r="AE10" s="3">
        <f t="shared" si="3"/>
        <v>0.117647058823529</v>
      </c>
    </row>
    <row r="11" spans="1:31">
      <c r="A11" t="s">
        <v>25</v>
      </c>
      <c r="B11">
        <v>0.0394</v>
      </c>
      <c r="C11">
        <v>0.0502</v>
      </c>
      <c r="D11">
        <v>0.063</v>
      </c>
      <c r="E11">
        <v>0.0264</v>
      </c>
      <c r="F11">
        <v>0.0278</v>
      </c>
      <c r="G11">
        <v>0.0287</v>
      </c>
      <c r="H11">
        <v>0.0296</v>
      </c>
      <c r="I11">
        <v>0.0331</v>
      </c>
      <c r="J11">
        <v>0.0363</v>
      </c>
      <c r="K11">
        <v>0.0394</v>
      </c>
      <c r="L11">
        <v>0.0502</v>
      </c>
      <c r="M11">
        <v>0.063</v>
      </c>
      <c r="N11">
        <v>0.0079</v>
      </c>
      <c r="O11">
        <v>0.005</v>
      </c>
      <c r="P11">
        <v>0.0032</v>
      </c>
      <c r="Q11" s="3">
        <f>B11/B$2-1</f>
        <v>0.0180878552971575</v>
      </c>
      <c r="R11" s="3">
        <f>C11/C$2-1</f>
        <v>-0.0528301886792453</v>
      </c>
      <c r="S11" s="3">
        <f>D11/D$2-1</f>
        <v>-0.0789473684210527</v>
      </c>
      <c r="T11" s="3">
        <f>E11/E$2-1</f>
        <v>0.562130177514793</v>
      </c>
      <c r="U11" s="3">
        <f>F11/F$2-1</f>
        <v>0.478723404255319</v>
      </c>
      <c r="V11" s="3">
        <f>G11/G$2-1</f>
        <v>0.442211055276382</v>
      </c>
      <c r="W11" s="3">
        <f>H11/H$2-1</f>
        <v>0.327354260089686</v>
      </c>
      <c r="X11" s="3">
        <f>I11/I$2-1</f>
        <v>0.225925925925926</v>
      </c>
      <c r="Y11" s="3">
        <f>J11/J$2-1</f>
        <v>0.174757281553398</v>
      </c>
      <c r="Z11" s="3">
        <f>K11/K$2-1</f>
        <v>0.0180878552971575</v>
      </c>
      <c r="AA11" s="3">
        <f>L11/L$2-1</f>
        <v>-0.0528301886792453</v>
      </c>
      <c r="AB11" s="3">
        <f>M11/M$2-1</f>
        <v>-0.0789473684210527</v>
      </c>
      <c r="AC11" s="3">
        <f>N11/N$2-1</f>
        <v>0.025974025974026</v>
      </c>
      <c r="AD11" s="3">
        <f>O11/O$2-1</f>
        <v>-0.0566037735849056</v>
      </c>
      <c r="AE11" s="3">
        <f>P11/P$2-1</f>
        <v>-0.0588235294117646</v>
      </c>
    </row>
    <row r="12" spans="1:31">
      <c r="A12" t="s">
        <v>26</v>
      </c>
      <c r="B12">
        <v>0.0455</v>
      </c>
      <c r="C12">
        <v>0.0587</v>
      </c>
      <c r="D12">
        <v>0.0741</v>
      </c>
      <c r="E12">
        <v>0.0307</v>
      </c>
      <c r="F12">
        <v>0.0325</v>
      </c>
      <c r="G12">
        <v>0.0335</v>
      </c>
      <c r="H12">
        <v>0.0344</v>
      </c>
      <c r="I12">
        <v>0.0387</v>
      </c>
      <c r="J12">
        <v>0.0425</v>
      </c>
      <c r="K12">
        <v>0.0455</v>
      </c>
      <c r="L12">
        <v>0.0587</v>
      </c>
      <c r="M12">
        <v>0.0741</v>
      </c>
      <c r="N12">
        <v>0.0091</v>
      </c>
      <c r="O12">
        <v>0.0059</v>
      </c>
      <c r="P12">
        <v>0.0037</v>
      </c>
      <c r="Q12" s="3">
        <f t="shared" ref="Q12:AE12" si="4">B12/B$2-1</f>
        <v>0.175710594315245</v>
      </c>
      <c r="R12" s="3">
        <f t="shared" si="4"/>
        <v>0.107547169811321</v>
      </c>
      <c r="S12" s="3">
        <f t="shared" si="4"/>
        <v>0.0833333333333333</v>
      </c>
      <c r="T12" s="3">
        <f t="shared" si="4"/>
        <v>0.816568047337278</v>
      </c>
      <c r="U12" s="3">
        <f t="shared" si="4"/>
        <v>0.728723404255319</v>
      </c>
      <c r="V12" s="3">
        <f t="shared" si="4"/>
        <v>0.683417085427136</v>
      </c>
      <c r="W12" s="3">
        <f t="shared" si="4"/>
        <v>0.542600896860987</v>
      </c>
      <c r="X12" s="3">
        <f t="shared" si="4"/>
        <v>0.433333333333333</v>
      </c>
      <c r="Y12" s="3">
        <f t="shared" si="4"/>
        <v>0.375404530744337</v>
      </c>
      <c r="Z12" s="3">
        <f t="shared" si="4"/>
        <v>0.175710594315245</v>
      </c>
      <c r="AA12" s="3">
        <f t="shared" si="4"/>
        <v>0.107547169811321</v>
      </c>
      <c r="AB12" s="3">
        <f t="shared" si="4"/>
        <v>0.0833333333333333</v>
      </c>
      <c r="AC12" s="3">
        <f t="shared" si="4"/>
        <v>0.181818181818182</v>
      </c>
      <c r="AD12" s="3">
        <f t="shared" si="4"/>
        <v>0.113207547169811</v>
      </c>
      <c r="AE12" s="3">
        <f t="shared" si="4"/>
        <v>0.0882352941176472</v>
      </c>
    </row>
    <row r="13" spans="1:31">
      <c r="A13" t="s">
        <v>27</v>
      </c>
      <c r="B13">
        <v>0.0462</v>
      </c>
      <c r="C13">
        <v>0.0594</v>
      </c>
      <c r="D13">
        <v>0.0757</v>
      </c>
      <c r="E13">
        <v>0.031</v>
      </c>
      <c r="F13">
        <v>0.0328</v>
      </c>
      <c r="G13">
        <v>0.0339</v>
      </c>
      <c r="H13">
        <v>0.0348</v>
      </c>
      <c r="I13">
        <v>0.039</v>
      </c>
      <c r="J13">
        <v>0.0431</v>
      </c>
      <c r="K13">
        <v>0.0462</v>
      </c>
      <c r="L13">
        <v>0.0594</v>
      </c>
      <c r="M13">
        <v>0.0757</v>
      </c>
      <c r="N13">
        <v>0.0092</v>
      </c>
      <c r="O13">
        <v>0.0059</v>
      </c>
      <c r="P13">
        <v>0.0038</v>
      </c>
      <c r="Q13" s="3">
        <f t="shared" ref="Q13:AE13" si="5">B13/B$2-1</f>
        <v>0.193798449612403</v>
      </c>
      <c r="R13" s="3">
        <f t="shared" si="5"/>
        <v>0.120754716981132</v>
      </c>
      <c r="S13" s="3">
        <f t="shared" si="5"/>
        <v>0.10672514619883</v>
      </c>
      <c r="T13" s="3">
        <f t="shared" si="5"/>
        <v>0.834319526627219</v>
      </c>
      <c r="U13" s="3">
        <f t="shared" si="5"/>
        <v>0.74468085106383</v>
      </c>
      <c r="V13" s="3">
        <f t="shared" si="5"/>
        <v>0.703517587939698</v>
      </c>
      <c r="W13" s="3">
        <f t="shared" si="5"/>
        <v>0.560538116591928</v>
      </c>
      <c r="X13" s="3">
        <f t="shared" si="5"/>
        <v>0.444444444444444</v>
      </c>
      <c r="Y13" s="3">
        <f t="shared" si="5"/>
        <v>0.394822006472492</v>
      </c>
      <c r="Z13" s="3">
        <f t="shared" si="5"/>
        <v>0.193798449612403</v>
      </c>
      <c r="AA13" s="3">
        <f t="shared" si="5"/>
        <v>0.120754716981132</v>
      </c>
      <c r="AB13" s="3">
        <f t="shared" si="5"/>
        <v>0.10672514619883</v>
      </c>
      <c r="AC13" s="3">
        <f t="shared" si="5"/>
        <v>0.194805194805195</v>
      </c>
      <c r="AD13" s="3">
        <f t="shared" si="5"/>
        <v>0.113207547169811</v>
      </c>
      <c r="AE13" s="3">
        <f t="shared" si="5"/>
        <v>0.117647058823529</v>
      </c>
    </row>
    <row r="15" spans="1:31">
      <c r="A15" t="s">
        <v>28</v>
      </c>
      <c r="B15">
        <v>0.0424</v>
      </c>
      <c r="C15">
        <v>0.0537</v>
      </c>
      <c r="D15">
        <v>0.0675</v>
      </c>
      <c r="E15">
        <v>0.029</v>
      </c>
      <c r="F15">
        <v>0.0304</v>
      </c>
      <c r="G15">
        <v>0.0314</v>
      </c>
      <c r="H15">
        <v>0.0323</v>
      </c>
      <c r="I15">
        <v>0.0359</v>
      </c>
      <c r="J15">
        <v>0.0394</v>
      </c>
      <c r="K15">
        <v>0.0424</v>
      </c>
      <c r="L15">
        <v>0.0537</v>
      </c>
      <c r="M15">
        <v>0.0675</v>
      </c>
      <c r="N15">
        <v>0.0085</v>
      </c>
      <c r="O15">
        <v>0.0054</v>
      </c>
      <c r="P15">
        <v>0.0034</v>
      </c>
      <c r="Q15" s="3">
        <f t="shared" ref="Q15:AE15" si="6">B15/B$2-1</f>
        <v>0.0956072351421189</v>
      </c>
      <c r="R15" s="3">
        <f t="shared" si="6"/>
        <v>0.0132075471698112</v>
      </c>
      <c r="S15" s="3">
        <f t="shared" si="6"/>
        <v>-0.013157894736842</v>
      </c>
      <c r="T15" s="3">
        <f t="shared" si="6"/>
        <v>0.715976331360947</v>
      </c>
      <c r="U15" s="3">
        <f t="shared" si="6"/>
        <v>0.617021276595745</v>
      </c>
      <c r="V15" s="3">
        <f t="shared" si="6"/>
        <v>0.577889447236181</v>
      </c>
      <c r="W15" s="3">
        <f t="shared" si="6"/>
        <v>0.448430493273543</v>
      </c>
      <c r="X15" s="3">
        <f t="shared" si="6"/>
        <v>0.32962962962963</v>
      </c>
      <c r="Y15" s="3">
        <f t="shared" si="6"/>
        <v>0.275080906148867</v>
      </c>
      <c r="Z15" s="3">
        <f t="shared" si="6"/>
        <v>0.0956072351421189</v>
      </c>
      <c r="AA15" s="3">
        <f t="shared" si="6"/>
        <v>0.0132075471698112</v>
      </c>
      <c r="AB15" s="3">
        <f t="shared" si="6"/>
        <v>-0.013157894736842</v>
      </c>
      <c r="AC15" s="3">
        <f t="shared" si="6"/>
        <v>0.103896103896104</v>
      </c>
      <c r="AD15" s="3">
        <f t="shared" si="6"/>
        <v>0.0188679245283019</v>
      </c>
      <c r="AE15" s="3">
        <f t="shared" si="6"/>
        <v>0</v>
      </c>
    </row>
    <row r="18" ht="14" customHeight="1" spans="1:1">
      <c r="A18" t="s">
        <v>29</v>
      </c>
    </row>
    <row r="19" spans="1:31">
      <c r="A19" t="s">
        <v>30</v>
      </c>
      <c r="B19">
        <v>0.0387</v>
      </c>
      <c r="C19">
        <v>0.053</v>
      </c>
      <c r="D19">
        <v>0.0684</v>
      </c>
      <c r="E19">
        <v>0.0169</v>
      </c>
      <c r="F19">
        <v>0.0188</v>
      </c>
      <c r="G19">
        <v>0.0199</v>
      </c>
      <c r="H19">
        <v>0.0223</v>
      </c>
      <c r="I19">
        <v>0.027</v>
      </c>
      <c r="J19">
        <v>0.0309</v>
      </c>
      <c r="K19">
        <v>0.0387</v>
      </c>
      <c r="L19">
        <v>0.053</v>
      </c>
      <c r="M19">
        <v>0.0684</v>
      </c>
      <c r="N19">
        <v>0.0077</v>
      </c>
      <c r="O19">
        <v>0.0053</v>
      </c>
      <c r="P19">
        <v>0.0034</v>
      </c>
      <c r="Q19" s="3">
        <f t="shared" ref="Q19:AE19" si="7">B19/B$2-1</f>
        <v>0</v>
      </c>
      <c r="R19" s="3">
        <f t="shared" si="7"/>
        <v>0</v>
      </c>
      <c r="S19" s="3">
        <f t="shared" si="7"/>
        <v>0</v>
      </c>
      <c r="T19" s="3">
        <f t="shared" si="7"/>
        <v>0</v>
      </c>
      <c r="U19" s="3">
        <f t="shared" si="7"/>
        <v>0</v>
      </c>
      <c r="V19" s="3">
        <f t="shared" si="7"/>
        <v>0</v>
      </c>
      <c r="W19" s="3">
        <f t="shared" si="7"/>
        <v>0</v>
      </c>
      <c r="X19" s="3">
        <f t="shared" si="7"/>
        <v>0</v>
      </c>
      <c r="Y19" s="3">
        <f t="shared" si="7"/>
        <v>0</v>
      </c>
      <c r="Z19" s="3">
        <f t="shared" si="7"/>
        <v>0</v>
      </c>
      <c r="AA19" s="3">
        <f t="shared" si="7"/>
        <v>0</v>
      </c>
      <c r="AB19" s="3">
        <f t="shared" si="7"/>
        <v>0</v>
      </c>
      <c r="AC19" s="3">
        <f t="shared" si="7"/>
        <v>0</v>
      </c>
      <c r="AD19" s="3">
        <f t="shared" si="7"/>
        <v>0</v>
      </c>
      <c r="AE19" s="3">
        <f t="shared" si="7"/>
        <v>0</v>
      </c>
    </row>
    <row r="20" spans="1:31">
      <c r="A20" t="s">
        <v>31</v>
      </c>
      <c r="B20">
        <v>0.0382</v>
      </c>
      <c r="C20">
        <v>0.0531</v>
      </c>
      <c r="D20">
        <v>0.0682</v>
      </c>
      <c r="E20">
        <v>0.0167</v>
      </c>
      <c r="F20">
        <v>0.0187</v>
      </c>
      <c r="G20">
        <v>0.0197</v>
      </c>
      <c r="H20">
        <v>0.0221</v>
      </c>
      <c r="I20">
        <v>0.0269</v>
      </c>
      <c r="J20">
        <v>0.0307</v>
      </c>
      <c r="K20">
        <v>0.0382</v>
      </c>
      <c r="L20">
        <v>0.0531</v>
      </c>
      <c r="M20">
        <v>0.0682</v>
      </c>
      <c r="N20">
        <v>0.0076</v>
      </c>
      <c r="O20">
        <v>0.0053</v>
      </c>
      <c r="P20">
        <v>0.0034</v>
      </c>
      <c r="Q20" s="3">
        <f t="shared" ref="Q20:AE20" si="8">B20/B$2-1</f>
        <v>-0.0129198966408269</v>
      </c>
      <c r="R20" s="3">
        <f t="shared" si="8"/>
        <v>0.0018867924528303</v>
      </c>
      <c r="S20" s="3">
        <f t="shared" si="8"/>
        <v>-0.00292397660818722</v>
      </c>
      <c r="T20" s="3">
        <f t="shared" si="8"/>
        <v>-0.0118343195266272</v>
      </c>
      <c r="U20" s="3">
        <f t="shared" si="8"/>
        <v>-0.00531914893617014</v>
      </c>
      <c r="V20" s="3">
        <f t="shared" si="8"/>
        <v>-0.0100502512562816</v>
      </c>
      <c r="W20" s="3">
        <f t="shared" si="8"/>
        <v>-0.00896860986547077</v>
      </c>
      <c r="X20" s="3">
        <f t="shared" si="8"/>
        <v>-0.00370370370370365</v>
      </c>
      <c r="Y20" s="3">
        <f t="shared" si="8"/>
        <v>-0.00647249190938504</v>
      </c>
      <c r="Z20" s="3">
        <f t="shared" si="8"/>
        <v>-0.0129198966408269</v>
      </c>
      <c r="AA20" s="3">
        <f t="shared" si="8"/>
        <v>0.0018867924528303</v>
      </c>
      <c r="AB20" s="3">
        <f t="shared" si="8"/>
        <v>-0.00292397660818722</v>
      </c>
      <c r="AC20" s="3">
        <f t="shared" si="8"/>
        <v>-0.012987012987013</v>
      </c>
      <c r="AD20" s="3">
        <f t="shared" si="8"/>
        <v>0</v>
      </c>
      <c r="AE20" s="3">
        <f t="shared" si="8"/>
        <v>0</v>
      </c>
    </row>
    <row r="21" spans="1:31">
      <c r="A21" t="s">
        <v>32</v>
      </c>
      <c r="B21">
        <v>0.0333</v>
      </c>
      <c r="C21">
        <v>0.0458</v>
      </c>
      <c r="D21">
        <v>0.0592</v>
      </c>
      <c r="E21">
        <v>0.0188</v>
      </c>
      <c r="F21">
        <v>0.0204</v>
      </c>
      <c r="G21">
        <v>0.0214</v>
      </c>
      <c r="H21">
        <v>0.0224</v>
      </c>
      <c r="I21">
        <v>0.0264</v>
      </c>
      <c r="J21">
        <v>0.0298</v>
      </c>
      <c r="K21">
        <v>0.0333</v>
      </c>
      <c r="L21">
        <v>0.0458</v>
      </c>
      <c r="M21">
        <v>0.0592</v>
      </c>
      <c r="N21">
        <v>0.0067</v>
      </c>
      <c r="O21">
        <v>0.0046</v>
      </c>
      <c r="P21">
        <v>0.003</v>
      </c>
      <c r="Q21" s="3">
        <f t="shared" ref="Q21:AE21" si="9">B21/B$2-1</f>
        <v>-0.13953488372093</v>
      </c>
      <c r="R21" s="3">
        <f t="shared" si="9"/>
        <v>-0.135849056603774</v>
      </c>
      <c r="S21" s="3">
        <f t="shared" si="9"/>
        <v>-0.134502923976608</v>
      </c>
      <c r="T21" s="3">
        <f t="shared" si="9"/>
        <v>0.112426035502959</v>
      </c>
      <c r="U21" s="3">
        <f t="shared" si="9"/>
        <v>0.0851063829787235</v>
      </c>
      <c r="V21" s="3">
        <f t="shared" si="9"/>
        <v>0.0753768844221105</v>
      </c>
      <c r="W21" s="3">
        <f t="shared" si="9"/>
        <v>0.00448430493273544</v>
      </c>
      <c r="X21" s="3">
        <f t="shared" si="9"/>
        <v>-0.0222222222222223</v>
      </c>
      <c r="Y21" s="3">
        <f t="shared" si="9"/>
        <v>-0.0355987055016181</v>
      </c>
      <c r="Z21" s="3">
        <f t="shared" si="9"/>
        <v>-0.13953488372093</v>
      </c>
      <c r="AA21" s="3">
        <f t="shared" si="9"/>
        <v>-0.135849056603774</v>
      </c>
      <c r="AB21" s="3">
        <f t="shared" si="9"/>
        <v>-0.134502923976608</v>
      </c>
      <c r="AC21" s="3">
        <f t="shared" si="9"/>
        <v>-0.12987012987013</v>
      </c>
      <c r="AD21" s="3">
        <f t="shared" si="9"/>
        <v>-0.132075471698113</v>
      </c>
      <c r="AE21" s="3">
        <f t="shared" si="9"/>
        <v>-0.117647058823529</v>
      </c>
    </row>
    <row r="22" spans="1:31">
      <c r="A22" t="s">
        <v>33</v>
      </c>
      <c r="B22">
        <v>0.0421</v>
      </c>
      <c r="C22">
        <v>0.0533</v>
      </c>
      <c r="D22">
        <v>0.0672</v>
      </c>
      <c r="E22">
        <v>0.0287</v>
      </c>
      <c r="F22">
        <v>0.0302</v>
      </c>
      <c r="G22">
        <v>0.0311</v>
      </c>
      <c r="H22">
        <v>0.032</v>
      </c>
      <c r="I22">
        <v>0.0356</v>
      </c>
      <c r="J22">
        <v>0.0391</v>
      </c>
      <c r="K22">
        <v>0.0421</v>
      </c>
      <c r="L22">
        <v>0.0533</v>
      </c>
      <c r="M22">
        <v>0.0672</v>
      </c>
      <c r="N22">
        <v>0.0084</v>
      </c>
      <c r="O22">
        <v>0.0053</v>
      </c>
      <c r="P22">
        <v>0.0034</v>
      </c>
      <c r="Q22" s="3">
        <f t="shared" ref="Q22:AE22" si="10">B22/B$2-1</f>
        <v>0.0878552971576227</v>
      </c>
      <c r="R22" s="3">
        <f t="shared" si="10"/>
        <v>0.00566037735849068</v>
      </c>
      <c r="S22" s="3">
        <f t="shared" si="10"/>
        <v>-0.0175438596491229</v>
      </c>
      <c r="T22" s="3">
        <f t="shared" si="10"/>
        <v>0.698224852071006</v>
      </c>
      <c r="U22" s="3">
        <f t="shared" si="10"/>
        <v>0.606382978723404</v>
      </c>
      <c r="V22" s="3">
        <f t="shared" si="10"/>
        <v>0.562814070351759</v>
      </c>
      <c r="W22" s="3">
        <f t="shared" si="10"/>
        <v>0.434977578475336</v>
      </c>
      <c r="X22" s="3">
        <f t="shared" si="10"/>
        <v>0.318518518518518</v>
      </c>
      <c r="Y22" s="3">
        <f t="shared" si="10"/>
        <v>0.26537216828479</v>
      </c>
      <c r="Z22" s="3">
        <f t="shared" si="10"/>
        <v>0.0878552971576227</v>
      </c>
      <c r="AA22" s="3">
        <f t="shared" si="10"/>
        <v>0.00566037735849068</v>
      </c>
      <c r="AB22" s="3">
        <f t="shared" si="10"/>
        <v>-0.0175438596491229</v>
      </c>
      <c r="AC22" s="3">
        <f t="shared" si="10"/>
        <v>0.0909090909090908</v>
      </c>
      <c r="AD22" s="3">
        <f t="shared" si="10"/>
        <v>0</v>
      </c>
      <c r="AE22" s="3">
        <f t="shared" si="10"/>
        <v>0</v>
      </c>
    </row>
    <row r="23" ht="10" customHeight="1" spans="1:31">
      <c r="A23" t="s">
        <v>34</v>
      </c>
      <c r="B23">
        <v>0.0382</v>
      </c>
      <c r="C23">
        <v>0.0531</v>
      </c>
      <c r="D23">
        <v>0.0682</v>
      </c>
      <c r="E23">
        <v>0.0167</v>
      </c>
      <c r="F23">
        <v>0.0187</v>
      </c>
      <c r="G23">
        <v>0.0197</v>
      </c>
      <c r="H23">
        <v>0.0221</v>
      </c>
      <c r="I23">
        <v>0.0269</v>
      </c>
      <c r="J23">
        <v>0.0307</v>
      </c>
      <c r="K23">
        <v>0.0382</v>
      </c>
      <c r="L23">
        <v>0.0531</v>
      </c>
      <c r="M23">
        <v>0.0682</v>
      </c>
      <c r="N23">
        <v>0.0076</v>
      </c>
      <c r="O23">
        <v>0.0053</v>
      </c>
      <c r="P23">
        <v>0.0034</v>
      </c>
      <c r="Q23" s="3">
        <f t="shared" ref="Q23:AE23" si="11">B23/B$2-1</f>
        <v>-0.0129198966408269</v>
      </c>
      <c r="R23" s="3">
        <f t="shared" si="11"/>
        <v>0.0018867924528303</v>
      </c>
      <c r="S23" s="3">
        <f t="shared" si="11"/>
        <v>-0.00292397660818722</v>
      </c>
      <c r="T23" s="3">
        <f t="shared" si="11"/>
        <v>-0.0118343195266272</v>
      </c>
      <c r="U23" s="3">
        <f t="shared" si="11"/>
        <v>-0.00531914893617014</v>
      </c>
      <c r="V23" s="3">
        <f t="shared" si="11"/>
        <v>-0.0100502512562816</v>
      </c>
      <c r="W23" s="3">
        <f t="shared" si="11"/>
        <v>-0.00896860986547077</v>
      </c>
      <c r="X23" s="3">
        <f t="shared" si="11"/>
        <v>-0.00370370370370365</v>
      </c>
      <c r="Y23" s="3">
        <f t="shared" si="11"/>
        <v>-0.00647249190938504</v>
      </c>
      <c r="Z23" s="3">
        <f t="shared" si="11"/>
        <v>-0.0129198966408269</v>
      </c>
      <c r="AA23" s="3">
        <f t="shared" si="11"/>
        <v>0.0018867924528303</v>
      </c>
      <c r="AB23" s="3">
        <f t="shared" si="11"/>
        <v>-0.00292397660818722</v>
      </c>
      <c r="AC23" s="3">
        <f t="shared" si="11"/>
        <v>-0.012987012987013</v>
      </c>
      <c r="AD23" s="3">
        <f t="shared" si="11"/>
        <v>0</v>
      </c>
      <c r="AE23" s="3">
        <f t="shared" si="11"/>
        <v>0</v>
      </c>
    </row>
    <row r="24" spans="1:31">
      <c r="A24" t="s">
        <v>34</v>
      </c>
      <c r="B24">
        <v>0.0354</v>
      </c>
      <c r="C24">
        <v>0.0463</v>
      </c>
      <c r="D24">
        <v>0.0606</v>
      </c>
      <c r="E24">
        <v>0.0244</v>
      </c>
      <c r="F24">
        <v>0.0258</v>
      </c>
      <c r="G24">
        <v>0.0268</v>
      </c>
      <c r="H24">
        <v>0.0271</v>
      </c>
      <c r="I24">
        <v>0.0306</v>
      </c>
      <c r="J24">
        <v>0.0342</v>
      </c>
      <c r="K24">
        <v>0.0354</v>
      </c>
      <c r="L24">
        <v>0.0463</v>
      </c>
      <c r="M24">
        <v>0.0606</v>
      </c>
      <c r="N24">
        <v>0.0071</v>
      </c>
      <c r="O24">
        <v>0.0046</v>
      </c>
      <c r="P24">
        <v>0.003</v>
      </c>
      <c r="Q24" s="3">
        <f t="shared" ref="Q24:AE24" si="12">B24/B$2-1</f>
        <v>-0.0852713178294573</v>
      </c>
      <c r="R24" s="3">
        <f t="shared" si="12"/>
        <v>-0.126415094339623</v>
      </c>
      <c r="S24" s="3">
        <f t="shared" si="12"/>
        <v>-0.114035087719298</v>
      </c>
      <c r="T24" s="3">
        <f t="shared" si="12"/>
        <v>0.443786982248521</v>
      </c>
      <c r="U24" s="3">
        <f t="shared" si="12"/>
        <v>0.372340425531915</v>
      </c>
      <c r="V24" s="3">
        <f t="shared" si="12"/>
        <v>0.346733668341709</v>
      </c>
      <c r="W24" s="3">
        <f t="shared" si="12"/>
        <v>0.2152466367713</v>
      </c>
      <c r="X24" s="3">
        <f t="shared" si="12"/>
        <v>0.133333333333333</v>
      </c>
      <c r="Y24" s="3">
        <f t="shared" si="12"/>
        <v>0.106796116504854</v>
      </c>
      <c r="Z24" s="3">
        <f t="shared" si="12"/>
        <v>-0.0852713178294573</v>
      </c>
      <c r="AA24" s="3">
        <f t="shared" si="12"/>
        <v>-0.126415094339623</v>
      </c>
      <c r="AB24" s="3">
        <f t="shared" si="12"/>
        <v>-0.114035087719298</v>
      </c>
      <c r="AC24" s="3">
        <f t="shared" si="12"/>
        <v>-0.0779220779220779</v>
      </c>
      <c r="AD24" s="3">
        <f t="shared" si="12"/>
        <v>-0.132075471698113</v>
      </c>
      <c r="AE24" s="3">
        <f t="shared" si="12"/>
        <v>-0.117647058823529</v>
      </c>
    </row>
    <row r="27" ht="17" spans="1:31">
      <c r="A27" s="2" t="s">
        <v>35</v>
      </c>
      <c r="B27">
        <v>0.0354</v>
      </c>
      <c r="C27">
        <v>0.0464</v>
      </c>
      <c r="D27">
        <v>0.0607</v>
      </c>
      <c r="E27">
        <v>0.0245</v>
      </c>
      <c r="F27">
        <v>0.026</v>
      </c>
      <c r="G27">
        <v>0.027</v>
      </c>
      <c r="H27">
        <v>0.0272</v>
      </c>
      <c r="I27">
        <v>0.0308</v>
      </c>
      <c r="J27">
        <v>0.0344</v>
      </c>
      <c r="K27">
        <v>0.0354</v>
      </c>
      <c r="L27">
        <v>0.0464</v>
      </c>
      <c r="M27">
        <v>0.0607</v>
      </c>
      <c r="N27">
        <v>0.0071</v>
      </c>
      <c r="O27">
        <v>0.0046</v>
      </c>
      <c r="P27">
        <v>0.003</v>
      </c>
      <c r="Q27" s="3">
        <f t="shared" ref="Q27:AE27" si="13">B27/B$2-1</f>
        <v>-0.0852713178294573</v>
      </c>
      <c r="R27" s="3">
        <f t="shared" si="13"/>
        <v>-0.124528301886793</v>
      </c>
      <c r="S27" s="3">
        <f t="shared" si="13"/>
        <v>-0.112573099415205</v>
      </c>
      <c r="T27" s="3">
        <f t="shared" si="13"/>
        <v>0.449704142011835</v>
      </c>
      <c r="U27" s="3">
        <f t="shared" si="13"/>
        <v>0.382978723404255</v>
      </c>
      <c r="V27" s="3">
        <f t="shared" si="13"/>
        <v>0.35678391959799</v>
      </c>
      <c r="W27" s="3">
        <f t="shared" si="13"/>
        <v>0.219730941704036</v>
      </c>
      <c r="X27" s="3">
        <f t="shared" si="13"/>
        <v>0.140740740740741</v>
      </c>
      <c r="Y27" s="3">
        <f t="shared" si="13"/>
        <v>0.11326860841424</v>
      </c>
      <c r="Z27" s="3">
        <f t="shared" si="13"/>
        <v>-0.0852713178294573</v>
      </c>
      <c r="AA27" s="3">
        <f t="shared" si="13"/>
        <v>-0.124528301886793</v>
      </c>
      <c r="AB27" s="3">
        <f t="shared" si="13"/>
        <v>-0.112573099415205</v>
      </c>
      <c r="AC27" s="3">
        <f t="shared" si="13"/>
        <v>-0.0779220779220779</v>
      </c>
      <c r="AD27" s="3">
        <f t="shared" si="13"/>
        <v>-0.132075471698113</v>
      </c>
      <c r="AE27" s="3">
        <f t="shared" si="13"/>
        <v>-0.117647058823529</v>
      </c>
    </row>
    <row r="28" spans="1:31">
      <c r="A28" t="s">
        <v>36</v>
      </c>
      <c r="B28">
        <v>0.0382</v>
      </c>
      <c r="C28">
        <v>0.0531</v>
      </c>
      <c r="D28">
        <v>0.0682</v>
      </c>
      <c r="E28">
        <v>0.0167</v>
      </c>
      <c r="F28">
        <v>0.0187</v>
      </c>
      <c r="G28">
        <v>0.0197</v>
      </c>
      <c r="H28">
        <v>0.0221</v>
      </c>
      <c r="I28">
        <v>0.0269</v>
      </c>
      <c r="J28">
        <v>0.0307</v>
      </c>
      <c r="K28">
        <v>0.0382</v>
      </c>
      <c r="L28">
        <v>0.0531</v>
      </c>
      <c r="M28">
        <v>0.0682</v>
      </c>
      <c r="N28">
        <v>0.0076</v>
      </c>
      <c r="O28">
        <v>0.0053</v>
      </c>
      <c r="P28">
        <v>0.0034</v>
      </c>
      <c r="Q28" s="3">
        <f t="shared" ref="Q28:AE28" si="14">B28/B$2-1</f>
        <v>-0.0129198966408269</v>
      </c>
      <c r="R28" s="3">
        <f t="shared" si="14"/>
        <v>0.0018867924528303</v>
      </c>
      <c r="S28" s="3">
        <f t="shared" si="14"/>
        <v>-0.00292397660818722</v>
      </c>
      <c r="T28" s="3">
        <f t="shared" si="14"/>
        <v>-0.0118343195266272</v>
      </c>
      <c r="U28" s="3">
        <f t="shared" si="14"/>
        <v>-0.00531914893617014</v>
      </c>
      <c r="V28" s="3">
        <f t="shared" si="14"/>
        <v>-0.0100502512562816</v>
      </c>
      <c r="W28" s="3">
        <f t="shared" si="14"/>
        <v>-0.00896860986547077</v>
      </c>
      <c r="X28" s="3">
        <f t="shared" si="14"/>
        <v>-0.00370370370370365</v>
      </c>
      <c r="Y28" s="3">
        <f t="shared" si="14"/>
        <v>-0.00647249190938504</v>
      </c>
      <c r="Z28" s="3">
        <f t="shared" si="14"/>
        <v>-0.0129198966408269</v>
      </c>
      <c r="AA28" s="3">
        <f t="shared" si="14"/>
        <v>0.0018867924528303</v>
      </c>
      <c r="AB28" s="3">
        <f t="shared" si="14"/>
        <v>-0.00292397660818722</v>
      </c>
      <c r="AC28" s="3">
        <f t="shared" si="14"/>
        <v>-0.012987012987013</v>
      </c>
      <c r="AD28" s="3">
        <f t="shared" si="14"/>
        <v>0</v>
      </c>
      <c r="AE28" s="3">
        <f t="shared" si="14"/>
        <v>0</v>
      </c>
    </row>
  </sheetData>
  <conditionalFormatting sqref="Q12:AE12">
    <cfRule type="cellIs" dxfId="0" priority="16" operator="greaterThan">
      <formula>0</formula>
    </cfRule>
    <cfRule type="cellIs" dxfId="1" priority="15" operator="lessThan">
      <formula>0</formula>
    </cfRule>
  </conditionalFormatting>
  <conditionalFormatting sqref="Q13:AE13">
    <cfRule type="cellIs" dxfId="0" priority="14" operator="greaterThan">
      <formula>0</formula>
    </cfRule>
    <cfRule type="cellIs" dxfId="1" priority="13" operator="lessThan">
      <formula>0</formula>
    </cfRule>
  </conditionalFormatting>
  <conditionalFormatting sqref="Q15:AE15">
    <cfRule type="cellIs" dxfId="0" priority="12" operator="greaterThan">
      <formula>0</formula>
    </cfRule>
    <cfRule type="cellIs" dxfId="1" priority="11" operator="lessThan">
      <formula>0</formula>
    </cfRule>
  </conditionalFormatting>
  <conditionalFormatting sqref="Q19:AE19">
    <cfRule type="cellIs" dxfId="1" priority="17" operator="lessThan">
      <formula>0</formula>
    </cfRule>
    <cfRule type="cellIs" dxfId="0" priority="18" operator="greaterThan">
      <formula>0</formula>
    </cfRule>
  </conditionalFormatting>
  <conditionalFormatting sqref="Q20:AE20">
    <cfRule type="cellIs" dxfId="1" priority="21" operator="lessThan">
      <formula>0</formula>
    </cfRule>
    <cfRule type="cellIs" dxfId="0" priority="22" operator="greaterThan">
      <formula>0</formula>
    </cfRule>
  </conditionalFormatting>
  <conditionalFormatting sqref="Q21:AE21">
    <cfRule type="cellIs" dxfId="1" priority="19" operator="lessThan">
      <formula>0</formula>
    </cfRule>
    <cfRule type="cellIs" dxfId="0" priority="20" operator="greaterThan">
      <formula>0</formula>
    </cfRule>
  </conditionalFormatting>
  <conditionalFormatting sqref="Q22:AE22">
    <cfRule type="cellIs" dxfId="0" priority="2" operator="greaterThan">
      <formula>0</formula>
    </cfRule>
    <cfRule type="cellIs" dxfId="1" priority="1" operator="lessThan">
      <formula>0</formula>
    </cfRule>
  </conditionalFormatting>
  <conditionalFormatting sqref="Q23:AE23">
    <cfRule type="cellIs" dxfId="0" priority="10" operator="greaterThan">
      <formula>0</formula>
    </cfRule>
    <cfRule type="cellIs" dxfId="1" priority="9" operator="lessThan">
      <formula>0</formula>
    </cfRule>
  </conditionalFormatting>
  <conditionalFormatting sqref="Q24:AE24">
    <cfRule type="cellIs" dxfId="0" priority="4" operator="greaterThan">
      <formula>0</formula>
    </cfRule>
    <cfRule type="cellIs" dxfId="1" priority="3" operator="lessThan">
      <formula>0</formula>
    </cfRule>
  </conditionalFormatting>
  <conditionalFormatting sqref="Q27:AE27">
    <cfRule type="cellIs" dxfId="1" priority="7" operator="lessThan">
      <formula>0</formula>
    </cfRule>
    <cfRule type="cellIs" dxfId="0" priority="8" operator="greaterThan">
      <formula>0</formula>
    </cfRule>
  </conditionalFormatting>
  <conditionalFormatting sqref="Q28:AE28">
    <cfRule type="cellIs" dxfId="1" priority="5" operator="lessThan">
      <formula>0</formula>
    </cfRule>
    <cfRule type="cellIs" dxfId="0" priority="6" operator="greaterThan">
      <formula>0</formula>
    </cfRule>
  </conditionalFormatting>
  <conditionalFormatting sqref="Q3:AE11">
    <cfRule type="cellIs" dxfId="1" priority="23" operator="lessThan">
      <formula>0</formula>
    </cfRule>
    <cfRule type="cellIs" dxfId="0" priority="24" operator="greaterThan">
      <formula>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workbookViewId="0">
      <selection activeCell="D7" sqref="D7"/>
    </sheetView>
  </sheetViews>
  <sheetFormatPr defaultColWidth="9.23076923076923" defaultRowHeight="16.8" outlineLevelRow="3"/>
  <sheetData>
    <row r="1" spans="1:16">
      <c r="A1" t="s">
        <v>37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4" spans="1:16">
      <c r="A4" t="s">
        <v>38</v>
      </c>
      <c r="B4">
        <v>0.0263</v>
      </c>
      <c r="C4">
        <v>0.044</v>
      </c>
      <c r="D4">
        <v>0.071</v>
      </c>
      <c r="E4">
        <v>0.0132</v>
      </c>
      <c r="F4">
        <v>0.0155</v>
      </c>
      <c r="G4">
        <v>0.0174</v>
      </c>
      <c r="H4">
        <v>0.0164</v>
      </c>
      <c r="I4">
        <v>0.0221</v>
      </c>
      <c r="J4">
        <v>0.0289</v>
      </c>
      <c r="K4">
        <v>0.0263</v>
      </c>
      <c r="L4">
        <v>0.044</v>
      </c>
      <c r="M4">
        <v>0.071</v>
      </c>
      <c r="N4">
        <v>0.0053</v>
      </c>
      <c r="O4">
        <v>0.0044</v>
      </c>
      <c r="P4">
        <v>0.0035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beauty</vt:lpstr>
      <vt:lpstr>yelp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lvchao0428</dc:creator>
  <cp:lastModifiedBy>吕超</cp:lastModifiedBy>
  <dcterms:created xsi:type="dcterms:W3CDTF">2025-11-08T10:34:21Z</dcterms:created>
  <dcterms:modified xsi:type="dcterms:W3CDTF">2025-11-13T08:38:34Z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C81E08788600BAD4D12311696BD4284E_43</vt:lpwstr>
  </property>
  <property fmtid="{D5CDD505-2E9C-101B-9397-08002B2CF9AE}" pid="3" name="KSOProductBuildVer">
    <vt:lpwstr>2052-6.13.1.8913</vt:lpwstr>
  </property>
</Properties>
</file>